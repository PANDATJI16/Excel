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agan\"/>
    </mc:Choice>
  </mc:AlternateContent>
  <xr:revisionPtr revIDLastSave="0" documentId="13_ncr:1_{3D0CF9F1-2968-40EB-AC66-8F7E5B803F18}" xr6:coauthVersionLast="47" xr6:coauthVersionMax="47" xr10:uidLastSave="{00000000-0000-0000-0000-000000000000}"/>
  <bookViews>
    <workbookView xWindow="-110" yWindow="-110" windowWidth="19420" windowHeight="10420" activeTab="1" xr2:uid="{B7646B7B-AD94-44B5-A207-B7EA3F151AD7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20" i="4"/>
  <c r="F19" i="4"/>
  <c r="M3" i="4"/>
  <c r="L4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3" i="4"/>
  <c r="L3" i="4" s="1"/>
  <c r="N3" i="4" s="1"/>
  <c r="J22" i="4"/>
  <c r="H22" i="4"/>
  <c r="G22" i="4"/>
  <c r="F22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3" i="4"/>
  <c r="F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21" i="4"/>
  <c r="L4" i="1"/>
  <c r="L5" i="1"/>
  <c r="L6" i="1"/>
  <c r="L7" i="1"/>
  <c r="L8" i="1"/>
  <c r="L9" i="1"/>
  <c r="L10" i="1"/>
  <c r="L11" i="1"/>
  <c r="L12" i="1"/>
  <c r="L13" i="1"/>
  <c r="L14" i="1"/>
  <c r="L1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7" i="1" l="1"/>
</calcChain>
</file>

<file path=xl/sharedStrings.xml><?xml version="1.0" encoding="utf-8"?>
<sst xmlns="http://schemas.openxmlformats.org/spreadsheetml/2006/main" count="136" uniqueCount="89">
  <si>
    <t>STUDENTS MARKS</t>
  </si>
  <si>
    <t>S.NO</t>
  </si>
  <si>
    <t>NAME</t>
  </si>
  <si>
    <t>CLASS</t>
  </si>
  <si>
    <t>ACCOUNTS</t>
  </si>
  <si>
    <t>BUSINESS</t>
  </si>
  <si>
    <t>ECO</t>
  </si>
  <si>
    <t>ENGLISH</t>
  </si>
  <si>
    <t>MATHS</t>
  </si>
  <si>
    <t>TOTAL</t>
  </si>
  <si>
    <t>PRASHANT</t>
  </si>
  <si>
    <t>JATIN</t>
  </si>
  <si>
    <t>TUSHAR</t>
  </si>
  <si>
    <t>ANGEL</t>
  </si>
  <si>
    <t>BISHANT</t>
  </si>
  <si>
    <t>MAYANK</t>
  </si>
  <si>
    <t>PUSHKAR</t>
  </si>
  <si>
    <t>GAGAN</t>
  </si>
  <si>
    <t>VASHNAVI</t>
  </si>
  <si>
    <t>SAKSHI</t>
  </si>
  <si>
    <t>MOHIT</t>
  </si>
  <si>
    <t>ADITIYA</t>
  </si>
  <si>
    <t>DEV</t>
  </si>
  <si>
    <t>11th</t>
  </si>
  <si>
    <r>
      <rPr>
        <b/>
        <sz val="11"/>
        <color theme="4"/>
        <rFont val="Calibri"/>
        <family val="2"/>
        <scheme val="minor"/>
      </rPr>
      <t>MINIMUM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"/>
        <family val="2"/>
        <scheme val="minor"/>
      </rPr>
      <t>MARKS</t>
    </r>
  </si>
  <si>
    <r>
      <rPr>
        <b/>
        <sz val="11"/>
        <color theme="4"/>
        <rFont val="Calibri"/>
        <family val="2"/>
        <scheme val="minor"/>
      </rPr>
      <t>MAXIMUM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"/>
        <family val="2"/>
        <scheme val="minor"/>
      </rPr>
      <t>MARKS</t>
    </r>
  </si>
  <si>
    <t>PERCENTAGE</t>
  </si>
  <si>
    <t>GRADE</t>
  </si>
  <si>
    <t>REMARKS</t>
  </si>
  <si>
    <t>PAAS</t>
  </si>
  <si>
    <t>SALARY  SHEET</t>
  </si>
  <si>
    <t>EMPLOYEE NAME</t>
  </si>
  <si>
    <t>EMPLOYEE ID</t>
  </si>
  <si>
    <t>DESIGNATION</t>
  </si>
  <si>
    <t>BASIC SALARY</t>
  </si>
  <si>
    <t>H.R.A</t>
  </si>
  <si>
    <t>T.A</t>
  </si>
  <si>
    <t>OTHER ALLOWANCES</t>
  </si>
  <si>
    <t>OVERTIME HOURS</t>
  </si>
  <si>
    <t>OVERTIME AMOUNT</t>
  </si>
  <si>
    <t>TOTAL ALLOWANCES</t>
  </si>
  <si>
    <t>GROSS SALARY</t>
  </si>
  <si>
    <t>P.F</t>
  </si>
  <si>
    <t>NET/IN HAND SALARY</t>
  </si>
  <si>
    <t>SUGAL</t>
  </si>
  <si>
    <t>KUSHAL</t>
  </si>
  <si>
    <t>PRIYA</t>
  </si>
  <si>
    <t>DIKSHA</t>
  </si>
  <si>
    <t>GUNJAN</t>
  </si>
  <si>
    <t>PRINCI</t>
  </si>
  <si>
    <t>VASHNAVI (RJ.)</t>
  </si>
  <si>
    <t>JANVI</t>
  </si>
  <si>
    <t>ANKIT</t>
  </si>
  <si>
    <t>SAKSHAM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</si>
  <si>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</si>
  <si>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</si>
  <si>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</si>
  <si>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</si>
  <si>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</si>
  <si>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</si>
  <si>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</si>
  <si>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</si>
  <si>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</si>
  <si>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</si>
  <si>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</si>
  <si>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</si>
  <si>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</si>
  <si>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</si>
  <si>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</si>
  <si>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</si>
  <si>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</si>
  <si>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</si>
  <si>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</si>
  <si>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</si>
  <si>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SHARE HOLDER</t>
  </si>
  <si>
    <t>C.E.O</t>
  </si>
  <si>
    <t>CLEANER</t>
  </si>
  <si>
    <t>MANAGER</t>
  </si>
  <si>
    <t>PURSHASE MANAGER</t>
  </si>
  <si>
    <t>C.A</t>
  </si>
  <si>
    <t>ACCOUNTANT</t>
  </si>
  <si>
    <t>H. R</t>
  </si>
  <si>
    <t>What is the higest gross salary</t>
  </si>
  <si>
    <t>Maximum amount generated by overtime</t>
  </si>
  <si>
    <t>Average salary of all the employee</t>
  </si>
  <si>
    <t>Find sum of in hand salary of all the employee</t>
  </si>
  <si>
    <t>Average overtime hours of the employee</t>
  </si>
  <si>
    <t>Find what percentage of in hand salary of 6th and 8th gernarated by overtime work</t>
  </si>
  <si>
    <t xml:space="preserve">Difference of  gross salary and basic salary of fifth employee in your excel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</si>
</sst>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2"/>
      <color theme="7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6" xfId="0" applyBorder="1"/>
    <xf numFmtId="0" fontId="4" fillId="0" borderId="6" xfId="0" applyFont="1" applyBorder="1"/>
    <xf numFmtId="0" fontId="4" fillId="0" borderId="8" xfId="0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1BDC-FF1B-409A-9405-4AE8010C7E02}">
  <dimension ref="A1:N17"/>
  <sheetViews>
    <sheetView workbookViewId="0">
      <selection activeCell="H3" sqref="H3"/>
    </sheetView>
  </sheetViews>
  <sheetFormatPr defaultRowHeight="14.5" x14ac:dyDescent="0.35"/>
  <cols>
    <col min="2" max="2" width="9.453125" customWidth="1"/>
    <col min="4" max="4" width="9.81640625" customWidth="1"/>
    <col min="8" max="8" width="16.08984375" bestFit="1" customWidth="1"/>
    <col min="10" max="10" width="11.54296875" customWidth="1"/>
  </cols>
  <sheetData>
    <row r="1" spans="1:14" ht="31.5" thickBot="1" x14ac:dyDescent="0.7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15" thickBot="1" x14ac:dyDescent="0.4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  <c r="J2" s="6" t="s">
        <v>26</v>
      </c>
      <c r="K2" s="9"/>
      <c r="L2" s="9"/>
      <c r="M2" s="10" t="s">
        <v>27</v>
      </c>
      <c r="N2" s="11" t="s">
        <v>28</v>
      </c>
    </row>
    <row r="3" spans="1:14" x14ac:dyDescent="0.35">
      <c r="A3" s="3">
        <v>1</v>
      </c>
      <c r="B3" s="3" t="s">
        <v>10</v>
      </c>
      <c r="C3" s="3" t="s">
        <v>23</v>
      </c>
      <c r="D3" s="3">
        <v>43</v>
      </c>
      <c r="E3" s="3">
        <v>50</v>
      </c>
      <c r="F3" s="3">
        <v>84</v>
      </c>
      <c r="G3" s="3">
        <v>81</v>
      </c>
      <c r="H3" s="3">
        <v>86</v>
      </c>
      <c r="I3" s="4">
        <f>SUM(D3:H3)</f>
        <v>344</v>
      </c>
      <c r="J3" s="3">
        <f>(I3/5)</f>
        <v>68.8</v>
      </c>
      <c r="K3" s="3">
        <f>AVERAGE(D3:H3)</f>
        <v>68.8</v>
      </c>
      <c r="L3" s="3">
        <f>(I3/500)*100</f>
        <v>68.8</v>
      </c>
      <c r="M3" s="3"/>
      <c r="N3" s="3" t="s">
        <v>29</v>
      </c>
    </row>
    <row r="4" spans="1:14" x14ac:dyDescent="0.35">
      <c r="A4" s="2">
        <v>2</v>
      </c>
      <c r="B4" s="2" t="s">
        <v>11</v>
      </c>
      <c r="C4" s="2" t="s">
        <v>23</v>
      </c>
      <c r="D4" s="2">
        <v>93</v>
      </c>
      <c r="E4" s="2">
        <v>78</v>
      </c>
      <c r="F4" s="2">
        <v>67</v>
      </c>
      <c r="G4" s="2">
        <v>41</v>
      </c>
      <c r="H4" s="2">
        <v>37</v>
      </c>
      <c r="I4" s="5">
        <f t="shared" ref="I4:I15" si="0">SUM(D4:H4)</f>
        <v>316</v>
      </c>
      <c r="J4" s="2">
        <f t="shared" ref="J4:J15" si="1">(I4/5)</f>
        <v>63.2</v>
      </c>
      <c r="K4" s="2">
        <f t="shared" ref="K4:K15" si="2">AVERAGE(D4:H4)</f>
        <v>63.2</v>
      </c>
      <c r="L4" s="2">
        <f t="shared" ref="L4:L15" si="3">(I4/500)*100</f>
        <v>63.2</v>
      </c>
      <c r="M4" s="2"/>
      <c r="N4" s="2" t="s">
        <v>29</v>
      </c>
    </row>
    <row r="5" spans="1:14" x14ac:dyDescent="0.35">
      <c r="A5" s="2">
        <v>3</v>
      </c>
      <c r="B5" s="2" t="s">
        <v>12</v>
      </c>
      <c r="C5" s="2" t="s">
        <v>23</v>
      </c>
      <c r="D5" s="2">
        <v>79</v>
      </c>
      <c r="E5" s="2">
        <v>95</v>
      </c>
      <c r="F5" s="2">
        <v>48</v>
      </c>
      <c r="G5" s="2">
        <v>40</v>
      </c>
      <c r="H5" s="2">
        <v>60</v>
      </c>
      <c r="I5" s="5">
        <f t="shared" si="0"/>
        <v>322</v>
      </c>
      <c r="J5" s="2">
        <f t="shared" si="1"/>
        <v>64.400000000000006</v>
      </c>
      <c r="K5" s="2">
        <f t="shared" si="2"/>
        <v>64.400000000000006</v>
      </c>
      <c r="L5" s="2">
        <f t="shared" si="3"/>
        <v>64.400000000000006</v>
      </c>
      <c r="M5" s="2"/>
      <c r="N5" s="2" t="s">
        <v>29</v>
      </c>
    </row>
    <row r="6" spans="1:14" x14ac:dyDescent="0.35">
      <c r="A6" s="2">
        <v>4</v>
      </c>
      <c r="B6" s="2" t="s">
        <v>13</v>
      </c>
      <c r="C6" s="2" t="s">
        <v>23</v>
      </c>
      <c r="D6" s="2">
        <v>86</v>
      </c>
      <c r="E6" s="2">
        <v>34</v>
      </c>
      <c r="F6" s="2">
        <v>65</v>
      </c>
      <c r="G6" s="2">
        <v>70</v>
      </c>
      <c r="H6" s="2">
        <v>62</v>
      </c>
      <c r="I6" s="5">
        <f t="shared" si="0"/>
        <v>317</v>
      </c>
      <c r="J6" s="2">
        <f t="shared" si="1"/>
        <v>63.4</v>
      </c>
      <c r="K6" s="2">
        <f t="shared" si="2"/>
        <v>63.4</v>
      </c>
      <c r="L6" s="2">
        <f t="shared" si="3"/>
        <v>63.4</v>
      </c>
      <c r="M6" s="2"/>
      <c r="N6" s="2" t="s">
        <v>29</v>
      </c>
    </row>
    <row r="7" spans="1:14" x14ac:dyDescent="0.35">
      <c r="A7" s="2">
        <v>5</v>
      </c>
      <c r="B7" s="2" t="s">
        <v>14</v>
      </c>
      <c r="C7" s="2" t="s">
        <v>23</v>
      </c>
      <c r="D7" s="2">
        <v>33</v>
      </c>
      <c r="E7" s="2">
        <v>45</v>
      </c>
      <c r="F7" s="2">
        <v>100</v>
      </c>
      <c r="G7" s="2">
        <v>67</v>
      </c>
      <c r="H7" s="2">
        <v>58</v>
      </c>
      <c r="I7" s="5">
        <f t="shared" si="0"/>
        <v>303</v>
      </c>
      <c r="J7" s="2">
        <f t="shared" si="1"/>
        <v>60.6</v>
      </c>
      <c r="K7" s="2">
        <f t="shared" si="2"/>
        <v>60.6</v>
      </c>
      <c r="L7" s="2">
        <f t="shared" si="3"/>
        <v>60.6</v>
      </c>
      <c r="M7" s="2"/>
      <c r="N7" s="2" t="s">
        <v>29</v>
      </c>
    </row>
    <row r="8" spans="1:14" x14ac:dyDescent="0.35">
      <c r="A8" s="2">
        <v>6</v>
      </c>
      <c r="B8" s="2" t="s">
        <v>15</v>
      </c>
      <c r="C8" s="2" t="s">
        <v>23</v>
      </c>
      <c r="D8" s="2">
        <v>33</v>
      </c>
      <c r="E8" s="2">
        <v>99</v>
      </c>
      <c r="F8" s="2">
        <v>87</v>
      </c>
      <c r="G8" s="2">
        <v>77</v>
      </c>
      <c r="H8" s="2">
        <v>56</v>
      </c>
      <c r="I8" s="5">
        <f t="shared" si="0"/>
        <v>352</v>
      </c>
      <c r="J8" s="2">
        <f t="shared" si="1"/>
        <v>70.400000000000006</v>
      </c>
      <c r="K8" s="2">
        <f t="shared" si="2"/>
        <v>70.400000000000006</v>
      </c>
      <c r="L8" s="2">
        <f t="shared" si="3"/>
        <v>70.399999999999991</v>
      </c>
      <c r="M8" s="2"/>
      <c r="N8" s="2" t="s">
        <v>29</v>
      </c>
    </row>
    <row r="9" spans="1:14" x14ac:dyDescent="0.35">
      <c r="A9" s="2">
        <v>7</v>
      </c>
      <c r="B9" s="2" t="s">
        <v>16</v>
      </c>
      <c r="C9" s="2" t="s">
        <v>23</v>
      </c>
      <c r="D9" s="2">
        <v>61</v>
      </c>
      <c r="E9" s="2">
        <v>41</v>
      </c>
      <c r="F9" s="2">
        <v>98</v>
      </c>
      <c r="G9" s="2">
        <v>91</v>
      </c>
      <c r="H9" s="2">
        <v>85</v>
      </c>
      <c r="I9" s="5">
        <f t="shared" si="0"/>
        <v>376</v>
      </c>
      <c r="J9" s="2">
        <f t="shared" si="1"/>
        <v>75.2</v>
      </c>
      <c r="K9" s="2">
        <f t="shared" si="2"/>
        <v>75.2</v>
      </c>
      <c r="L9" s="2">
        <f t="shared" si="3"/>
        <v>75.2</v>
      </c>
      <c r="M9" s="2"/>
      <c r="N9" s="2" t="s">
        <v>29</v>
      </c>
    </row>
    <row r="10" spans="1:14" x14ac:dyDescent="0.35">
      <c r="A10" s="2">
        <v>8</v>
      </c>
      <c r="B10" s="2" t="s">
        <v>17</v>
      </c>
      <c r="C10" s="2" t="s">
        <v>23</v>
      </c>
      <c r="D10" s="2">
        <v>100</v>
      </c>
      <c r="E10" s="2">
        <v>99</v>
      </c>
      <c r="F10" s="2">
        <v>100</v>
      </c>
      <c r="G10" s="2">
        <v>97</v>
      </c>
      <c r="H10" s="2">
        <v>98</v>
      </c>
      <c r="I10" s="5">
        <f t="shared" si="0"/>
        <v>494</v>
      </c>
      <c r="J10" s="2">
        <f t="shared" si="1"/>
        <v>98.8</v>
      </c>
      <c r="K10" s="2">
        <f t="shared" si="2"/>
        <v>98.8</v>
      </c>
      <c r="L10" s="2">
        <f t="shared" si="3"/>
        <v>98.8</v>
      </c>
      <c r="M10" s="2"/>
      <c r="N10" s="2" t="s">
        <v>29</v>
      </c>
    </row>
    <row r="11" spans="1:14" x14ac:dyDescent="0.35">
      <c r="A11" s="2">
        <v>9</v>
      </c>
      <c r="B11" s="2" t="s">
        <v>18</v>
      </c>
      <c r="C11" s="2" t="s">
        <v>23</v>
      </c>
      <c r="D11" s="2">
        <v>38</v>
      </c>
      <c r="E11" s="2">
        <v>88</v>
      </c>
      <c r="F11" s="2">
        <v>88</v>
      </c>
      <c r="G11" s="2">
        <v>55</v>
      </c>
      <c r="H11" s="2">
        <v>71</v>
      </c>
      <c r="I11" s="5">
        <f t="shared" si="0"/>
        <v>340</v>
      </c>
      <c r="J11" s="2">
        <f t="shared" si="1"/>
        <v>68</v>
      </c>
      <c r="K11" s="2">
        <f t="shared" si="2"/>
        <v>68</v>
      </c>
      <c r="L11" s="2">
        <f t="shared" si="3"/>
        <v>68</v>
      </c>
      <c r="M11" s="2"/>
      <c r="N11" s="2" t="s">
        <v>29</v>
      </c>
    </row>
    <row r="12" spans="1:14" x14ac:dyDescent="0.35">
      <c r="A12" s="2">
        <v>10</v>
      </c>
      <c r="B12" s="2" t="s">
        <v>19</v>
      </c>
      <c r="C12" s="2" t="s">
        <v>23</v>
      </c>
      <c r="D12" s="2">
        <v>93</v>
      </c>
      <c r="E12" s="2">
        <v>52</v>
      </c>
      <c r="F12" s="2">
        <v>82</v>
      </c>
      <c r="G12" s="2">
        <v>83</v>
      </c>
      <c r="H12" s="2">
        <v>38</v>
      </c>
      <c r="I12" s="5">
        <f t="shared" si="0"/>
        <v>348</v>
      </c>
      <c r="J12" s="2">
        <f t="shared" si="1"/>
        <v>69.599999999999994</v>
      </c>
      <c r="K12" s="2">
        <f t="shared" si="2"/>
        <v>69.599999999999994</v>
      </c>
      <c r="L12" s="2">
        <f t="shared" si="3"/>
        <v>69.599999999999994</v>
      </c>
      <c r="M12" s="2"/>
      <c r="N12" s="2" t="s">
        <v>29</v>
      </c>
    </row>
    <row r="13" spans="1:14" x14ac:dyDescent="0.35">
      <c r="A13" s="2">
        <v>11</v>
      </c>
      <c r="B13" s="2" t="s">
        <v>20</v>
      </c>
      <c r="C13" s="2" t="s">
        <v>23</v>
      </c>
      <c r="D13" s="2">
        <v>55</v>
      </c>
      <c r="E13" s="2">
        <v>74</v>
      </c>
      <c r="F13" s="2">
        <v>41</v>
      </c>
      <c r="G13" s="2">
        <v>57</v>
      </c>
      <c r="H13" s="2">
        <v>57</v>
      </c>
      <c r="I13" s="5">
        <f t="shared" si="0"/>
        <v>284</v>
      </c>
      <c r="J13" s="2">
        <f t="shared" si="1"/>
        <v>56.8</v>
      </c>
      <c r="K13" s="2">
        <f t="shared" si="2"/>
        <v>56.8</v>
      </c>
      <c r="L13" s="2">
        <f t="shared" si="3"/>
        <v>56.8</v>
      </c>
      <c r="M13" s="2"/>
      <c r="N13" s="2" t="s">
        <v>29</v>
      </c>
    </row>
    <row r="14" spans="1:14" x14ac:dyDescent="0.35">
      <c r="A14" s="2">
        <v>12</v>
      </c>
      <c r="B14" s="2" t="s">
        <v>21</v>
      </c>
      <c r="C14" s="2" t="s">
        <v>23</v>
      </c>
      <c r="D14" s="2">
        <v>45</v>
      </c>
      <c r="E14" s="2">
        <v>46</v>
      </c>
      <c r="F14" s="2">
        <v>75</v>
      </c>
      <c r="G14" s="2">
        <v>85</v>
      </c>
      <c r="H14" s="2">
        <v>85</v>
      </c>
      <c r="I14" s="5">
        <f t="shared" si="0"/>
        <v>336</v>
      </c>
      <c r="J14" s="2">
        <f t="shared" si="1"/>
        <v>67.2</v>
      </c>
      <c r="K14" s="2">
        <f t="shared" si="2"/>
        <v>67.2</v>
      </c>
      <c r="L14" s="2">
        <f t="shared" si="3"/>
        <v>67.2</v>
      </c>
      <c r="M14" s="2"/>
      <c r="N14" s="2" t="s">
        <v>29</v>
      </c>
    </row>
    <row r="15" spans="1:14" x14ac:dyDescent="0.35">
      <c r="A15" s="2">
        <v>13</v>
      </c>
      <c r="B15" s="2" t="s">
        <v>22</v>
      </c>
      <c r="C15" s="2" t="s">
        <v>23</v>
      </c>
      <c r="D15" s="2">
        <v>94</v>
      </c>
      <c r="E15" s="2">
        <v>56</v>
      </c>
      <c r="F15" s="2">
        <v>92</v>
      </c>
      <c r="G15" s="2">
        <v>89</v>
      </c>
      <c r="H15" s="2">
        <v>73</v>
      </c>
      <c r="I15" s="5">
        <f t="shared" si="0"/>
        <v>404</v>
      </c>
      <c r="J15" s="2">
        <f t="shared" si="1"/>
        <v>80.8</v>
      </c>
      <c r="K15" s="2">
        <f t="shared" si="2"/>
        <v>80.8</v>
      </c>
      <c r="L15" s="2">
        <f t="shared" si="3"/>
        <v>80.800000000000011</v>
      </c>
      <c r="M15" s="2"/>
      <c r="N15" s="2" t="s">
        <v>29</v>
      </c>
    </row>
    <row r="16" spans="1:14" x14ac:dyDescent="0.35">
      <c r="A16" s="2">
        <v>13</v>
      </c>
      <c r="B16" s="1"/>
      <c r="C16" s="1"/>
      <c r="D16" s="1"/>
      <c r="E16" s="1"/>
      <c r="F16" s="1"/>
      <c r="G16" s="1"/>
      <c r="H16" s="1" t="s">
        <v>24</v>
      </c>
      <c r="I16" s="5">
        <v>284</v>
      </c>
      <c r="J16" s="1"/>
      <c r="K16" s="1"/>
      <c r="L16" s="1"/>
      <c r="M16" s="1"/>
      <c r="N16" s="1"/>
    </row>
    <row r="17" spans="1:14" x14ac:dyDescent="0.35">
      <c r="A17" s="1"/>
      <c r="B17" s="1"/>
      <c r="C17" s="1"/>
      <c r="D17" s="1"/>
      <c r="E17" s="1"/>
      <c r="F17" s="1"/>
      <c r="G17" s="1"/>
      <c r="H17" s="1" t="s">
        <v>25</v>
      </c>
      <c r="I17" s="5">
        <f>MAX(I3:I15)</f>
        <v>494</v>
      </c>
      <c r="J17" s="1"/>
      <c r="K17" s="1"/>
      <c r="L17" s="1"/>
      <c r="M17" s="1"/>
      <c r="N17" s="1"/>
    </row>
  </sheetData>
  <mergeCells count="1">
    <mergeCell ref="A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EC0C-2809-429A-A036-6102F2B755FB}">
  <dimension ref="A1:S32"/>
  <sheetViews>
    <sheetView tabSelected="1" topLeftCell="A20" zoomScale="47" zoomScaleNormal="40" workbookViewId="0">
      <selection activeCell="E24" sqref="E24"/>
    </sheetView>
  </sheetViews>
  <sheetFormatPr defaultRowHeight="14.5" x14ac:dyDescent="0.35"/>
  <cols>
    <col min="1" max="1" width="11.08984375" customWidth="1"/>
    <col min="2" max="2" width="38.1796875" customWidth="1"/>
    <col min="3" max="3" width="29.453125" customWidth="1"/>
    <col min="4" max="4" width="34.1796875" customWidth="1"/>
    <col min="5" max="5" width="31.7265625" customWidth="1"/>
    <col min="6" max="6" width="16.26953125" customWidth="1"/>
    <col min="7" max="7" width="14.36328125" customWidth="1"/>
    <col min="8" max="8" width="45.81640625" customWidth="1"/>
    <col min="9" max="9" width="42.26953125" customWidth="1"/>
    <col min="10" max="10" width="45.26953125" customWidth="1"/>
    <col min="11" max="11" width="45.36328125" customWidth="1"/>
    <col min="12" max="12" width="33.453125" customWidth="1"/>
    <col min="13" max="13" width="15.26953125" customWidth="1"/>
    <col min="14" max="14" width="47.36328125" customWidth="1"/>
  </cols>
  <sheetData>
    <row r="1" spans="1:19" ht="90" customHeight="1" x14ac:dyDescent="2">
      <c r="A1" s="18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2"/>
      <c r="P1" s="12"/>
      <c r="Q1" s="12"/>
      <c r="R1" s="12"/>
      <c r="S1" s="12"/>
    </row>
    <row r="2" spans="1:19" ht="28.5" x14ac:dyDescent="0.65">
      <c r="A2" s="14" t="s">
        <v>1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9" ht="23.5" x14ac:dyDescent="0.55000000000000004">
      <c r="A3" s="13">
        <v>1</v>
      </c>
      <c r="B3" s="13" t="s">
        <v>17</v>
      </c>
      <c r="C3" s="13" t="s">
        <v>54</v>
      </c>
      <c r="D3" s="13" t="s">
        <v>74</v>
      </c>
      <c r="E3" s="13">
        <v>10000000</v>
      </c>
      <c r="F3" s="13">
        <f t="shared" ref="F3:F22" si="0">E3*50%</f>
        <v>5000000</v>
      </c>
      <c r="G3" s="13">
        <f>(20%*E3)/100</f>
        <v>20000</v>
      </c>
      <c r="H3" s="13">
        <f>(30*E3)/100</f>
        <v>3000000</v>
      </c>
      <c r="I3" s="13">
        <v>4</v>
      </c>
      <c r="J3" s="13">
        <f>(I3*900)</f>
        <v>3600</v>
      </c>
      <c r="K3" s="13">
        <f>SUM(F3,G3,H3,J3)</f>
        <v>8023600</v>
      </c>
      <c r="L3" s="13">
        <f>SUM(E3,K3)</f>
        <v>18023600</v>
      </c>
      <c r="M3" s="13">
        <f>(12*E3/100)</f>
        <v>1200000</v>
      </c>
      <c r="N3" s="13">
        <f>(L3-M3)</f>
        <v>16823600</v>
      </c>
    </row>
    <row r="4" spans="1:19" ht="23.5" x14ac:dyDescent="0.55000000000000004">
      <c r="A4" s="13">
        <v>2</v>
      </c>
      <c r="B4" s="13" t="s">
        <v>10</v>
      </c>
      <c r="C4" s="13" t="s">
        <v>55</v>
      </c>
      <c r="D4" s="13" t="s">
        <v>79</v>
      </c>
      <c r="E4" s="13">
        <v>100000</v>
      </c>
      <c r="F4" s="13">
        <f t="shared" si="0"/>
        <v>50000</v>
      </c>
      <c r="G4" s="13">
        <f t="shared" ref="G4:G22" si="1">(20%*E4)/100</f>
        <v>200</v>
      </c>
      <c r="H4" s="13">
        <f t="shared" ref="H4:H22" si="2">(30*E4)/100</f>
        <v>30000</v>
      </c>
      <c r="I4" s="13">
        <v>6</v>
      </c>
      <c r="J4" s="13">
        <f t="shared" ref="J4:J22" si="3">(I4*900)</f>
        <v>5400</v>
      </c>
      <c r="K4" s="13">
        <f t="shared" ref="K4:K22" si="4">SUM(F4,G4,H4,J4)</f>
        <v>85600</v>
      </c>
      <c r="L4" s="13">
        <f>SUM(E4,K4)</f>
        <v>185600</v>
      </c>
      <c r="M4" s="13">
        <f t="shared" ref="M4:M22" si="5">(12*E4/100)</f>
        <v>12000</v>
      </c>
      <c r="N4" s="13">
        <f t="shared" ref="N4:N22" si="6">(L4-M4)</f>
        <v>173600</v>
      </c>
    </row>
    <row r="5" spans="1:19" ht="23.5" x14ac:dyDescent="0.55000000000000004">
      <c r="A5" s="13">
        <v>3</v>
      </c>
      <c r="B5" s="13" t="s">
        <v>11</v>
      </c>
      <c r="C5" s="13" t="s">
        <v>56</v>
      </c>
      <c r="D5" s="13" t="s">
        <v>78</v>
      </c>
      <c r="E5" s="13">
        <v>250000</v>
      </c>
      <c r="F5" s="13">
        <f t="shared" si="0"/>
        <v>125000</v>
      </c>
      <c r="G5" s="13">
        <f t="shared" si="1"/>
        <v>500</v>
      </c>
      <c r="H5" s="13">
        <f t="shared" si="2"/>
        <v>75000</v>
      </c>
      <c r="I5" s="13">
        <v>6</v>
      </c>
      <c r="J5" s="13">
        <f t="shared" si="3"/>
        <v>5400</v>
      </c>
      <c r="K5" s="13">
        <f t="shared" si="4"/>
        <v>205900</v>
      </c>
      <c r="L5" s="13">
        <f t="shared" ref="L4:L22" si="7">SUM(E5,K5)</f>
        <v>455900</v>
      </c>
      <c r="M5" s="13">
        <f t="shared" si="5"/>
        <v>30000</v>
      </c>
      <c r="N5" s="13">
        <f t="shared" si="6"/>
        <v>425900</v>
      </c>
    </row>
    <row r="6" spans="1:19" ht="23.5" x14ac:dyDescent="0.55000000000000004">
      <c r="A6" s="13">
        <v>4</v>
      </c>
      <c r="B6" s="13" t="s">
        <v>19</v>
      </c>
      <c r="C6" s="13" t="s">
        <v>57</v>
      </c>
      <c r="D6" s="13" t="s">
        <v>77</v>
      </c>
      <c r="E6" s="13">
        <v>300000</v>
      </c>
      <c r="F6" s="13">
        <f t="shared" si="0"/>
        <v>150000</v>
      </c>
      <c r="G6" s="13">
        <f t="shared" si="1"/>
        <v>600</v>
      </c>
      <c r="H6" s="13">
        <f t="shared" si="2"/>
        <v>90000</v>
      </c>
      <c r="I6" s="13">
        <v>5</v>
      </c>
      <c r="J6" s="13">
        <f t="shared" si="3"/>
        <v>4500</v>
      </c>
      <c r="K6" s="13">
        <f t="shared" si="4"/>
        <v>245100</v>
      </c>
      <c r="L6" s="13">
        <f t="shared" si="7"/>
        <v>545100</v>
      </c>
      <c r="M6" s="13">
        <f t="shared" si="5"/>
        <v>36000</v>
      </c>
      <c r="N6" s="13">
        <f t="shared" si="6"/>
        <v>509100</v>
      </c>
    </row>
    <row r="7" spans="1:19" ht="23.5" x14ac:dyDescent="0.55000000000000004">
      <c r="A7" s="13">
        <v>5</v>
      </c>
      <c r="B7" s="13" t="s">
        <v>13</v>
      </c>
      <c r="C7" s="13" t="s">
        <v>58</v>
      </c>
      <c r="D7" s="13" t="s">
        <v>79</v>
      </c>
      <c r="E7" s="13">
        <v>100000</v>
      </c>
      <c r="F7" s="13">
        <f t="shared" si="0"/>
        <v>50000</v>
      </c>
      <c r="G7" s="13">
        <f t="shared" si="1"/>
        <v>200</v>
      </c>
      <c r="H7" s="13">
        <f t="shared" si="2"/>
        <v>30000</v>
      </c>
      <c r="I7" s="13">
        <v>7</v>
      </c>
      <c r="J7" s="13">
        <f t="shared" si="3"/>
        <v>6300</v>
      </c>
      <c r="K7" s="13">
        <f t="shared" si="4"/>
        <v>86500</v>
      </c>
      <c r="L7" s="13">
        <f t="shared" si="7"/>
        <v>186500</v>
      </c>
      <c r="M7" s="13">
        <f t="shared" si="5"/>
        <v>12000</v>
      </c>
      <c r="N7" s="13">
        <f t="shared" si="6"/>
        <v>174500</v>
      </c>
    </row>
    <row r="8" spans="1:19" ht="23.5" x14ac:dyDescent="0.55000000000000004">
      <c r="A8" s="13">
        <v>6</v>
      </c>
      <c r="B8" s="13" t="s">
        <v>18</v>
      </c>
      <c r="C8" s="13" t="s">
        <v>59</v>
      </c>
      <c r="D8" s="13" t="s">
        <v>80</v>
      </c>
      <c r="E8" s="13">
        <v>90000</v>
      </c>
      <c r="F8" s="13">
        <f t="shared" si="0"/>
        <v>45000</v>
      </c>
      <c r="G8" s="13">
        <f t="shared" si="1"/>
        <v>180</v>
      </c>
      <c r="H8" s="13">
        <f t="shared" si="2"/>
        <v>27000</v>
      </c>
      <c r="I8" s="13">
        <v>8</v>
      </c>
      <c r="J8" s="13">
        <f t="shared" si="3"/>
        <v>7200</v>
      </c>
      <c r="K8" s="13">
        <f t="shared" si="4"/>
        <v>79380</v>
      </c>
      <c r="L8" s="13">
        <f t="shared" si="7"/>
        <v>169380</v>
      </c>
      <c r="M8" s="13">
        <f t="shared" si="5"/>
        <v>10800</v>
      </c>
      <c r="N8" s="13">
        <f t="shared" si="6"/>
        <v>158580</v>
      </c>
    </row>
    <row r="9" spans="1:19" ht="23.5" x14ac:dyDescent="0.55000000000000004">
      <c r="A9" s="13">
        <v>7</v>
      </c>
      <c r="B9" s="13" t="s">
        <v>14</v>
      </c>
      <c r="C9" s="13" t="s">
        <v>60</v>
      </c>
      <c r="D9" s="13" t="s">
        <v>76</v>
      </c>
      <c r="E9" s="13">
        <v>60000</v>
      </c>
      <c r="F9" s="13">
        <f t="shared" si="0"/>
        <v>30000</v>
      </c>
      <c r="G9" s="13">
        <f t="shared" si="1"/>
        <v>120</v>
      </c>
      <c r="H9" s="13">
        <f t="shared" si="2"/>
        <v>18000</v>
      </c>
      <c r="I9" s="13">
        <v>3</v>
      </c>
      <c r="J9" s="13">
        <f t="shared" si="3"/>
        <v>2700</v>
      </c>
      <c r="K9" s="13">
        <f t="shared" si="4"/>
        <v>50820</v>
      </c>
      <c r="L9" s="13">
        <f t="shared" si="7"/>
        <v>110820</v>
      </c>
      <c r="M9" s="13">
        <f t="shared" si="5"/>
        <v>7200</v>
      </c>
      <c r="N9" s="13">
        <f t="shared" si="6"/>
        <v>103620</v>
      </c>
    </row>
    <row r="10" spans="1:19" ht="23.5" x14ac:dyDescent="0.55000000000000004">
      <c r="A10" s="13">
        <v>8</v>
      </c>
      <c r="B10" s="13" t="s">
        <v>44</v>
      </c>
      <c r="C10" s="13" t="s">
        <v>61</v>
      </c>
      <c r="D10" s="13" t="s">
        <v>81</v>
      </c>
      <c r="E10" s="13">
        <v>800000</v>
      </c>
      <c r="F10" s="13">
        <f t="shared" si="0"/>
        <v>400000</v>
      </c>
      <c r="G10" s="13">
        <f t="shared" si="1"/>
        <v>1600</v>
      </c>
      <c r="H10" s="13">
        <f t="shared" si="2"/>
        <v>240000</v>
      </c>
      <c r="I10" s="13">
        <v>3</v>
      </c>
      <c r="J10" s="13">
        <f t="shared" si="3"/>
        <v>2700</v>
      </c>
      <c r="K10" s="13">
        <f t="shared" si="4"/>
        <v>644300</v>
      </c>
      <c r="L10" s="13">
        <f t="shared" si="7"/>
        <v>1444300</v>
      </c>
      <c r="M10" s="13">
        <f t="shared" si="5"/>
        <v>96000</v>
      </c>
      <c r="N10" s="13">
        <f t="shared" si="6"/>
        <v>1348300</v>
      </c>
    </row>
    <row r="11" spans="1:19" ht="23.5" x14ac:dyDescent="0.55000000000000004">
      <c r="A11" s="13">
        <v>9</v>
      </c>
      <c r="B11" s="13" t="s">
        <v>15</v>
      </c>
      <c r="C11" s="13" t="s">
        <v>62</v>
      </c>
      <c r="D11" s="13" t="s">
        <v>76</v>
      </c>
      <c r="E11" s="13">
        <v>60000</v>
      </c>
      <c r="F11" s="13">
        <f t="shared" si="0"/>
        <v>30000</v>
      </c>
      <c r="G11" s="13">
        <f t="shared" si="1"/>
        <v>120</v>
      </c>
      <c r="H11" s="13">
        <f t="shared" si="2"/>
        <v>18000</v>
      </c>
      <c r="I11" s="13">
        <v>2</v>
      </c>
      <c r="J11" s="13">
        <f t="shared" si="3"/>
        <v>1800</v>
      </c>
      <c r="K11" s="13">
        <f t="shared" si="4"/>
        <v>49920</v>
      </c>
      <c r="L11" s="13">
        <f t="shared" si="7"/>
        <v>109920</v>
      </c>
      <c r="M11" s="13">
        <f t="shared" si="5"/>
        <v>7200</v>
      </c>
      <c r="N11" s="13">
        <f t="shared" si="6"/>
        <v>102720</v>
      </c>
    </row>
    <row r="12" spans="1:19" ht="23.5" x14ac:dyDescent="0.55000000000000004">
      <c r="A12" s="13">
        <v>10</v>
      </c>
      <c r="B12" s="13" t="s">
        <v>20</v>
      </c>
      <c r="C12" s="13" t="s">
        <v>63</v>
      </c>
      <c r="D12" s="13" t="s">
        <v>75</v>
      </c>
      <c r="E12" s="13">
        <v>90000</v>
      </c>
      <c r="F12" s="13">
        <f t="shared" si="0"/>
        <v>45000</v>
      </c>
      <c r="G12" s="13">
        <f t="shared" si="1"/>
        <v>180</v>
      </c>
      <c r="H12" s="13">
        <f t="shared" si="2"/>
        <v>27000</v>
      </c>
      <c r="I12" s="13">
        <v>2</v>
      </c>
      <c r="J12" s="13">
        <f t="shared" si="3"/>
        <v>1800</v>
      </c>
      <c r="K12" s="13">
        <f t="shared" si="4"/>
        <v>73980</v>
      </c>
      <c r="L12" s="13">
        <f t="shared" si="7"/>
        <v>163980</v>
      </c>
      <c r="M12" s="13">
        <f t="shared" si="5"/>
        <v>10800</v>
      </c>
      <c r="N12" s="13">
        <f t="shared" si="6"/>
        <v>153180</v>
      </c>
    </row>
    <row r="13" spans="1:19" ht="23.5" x14ac:dyDescent="0.55000000000000004">
      <c r="A13" s="13">
        <v>11</v>
      </c>
      <c r="B13" s="13" t="s">
        <v>45</v>
      </c>
      <c r="C13" s="13" t="s">
        <v>64</v>
      </c>
      <c r="D13" s="13" t="s">
        <v>76</v>
      </c>
      <c r="E13" s="13">
        <v>60000</v>
      </c>
      <c r="F13" s="13">
        <f t="shared" si="0"/>
        <v>30000</v>
      </c>
      <c r="G13" s="13">
        <f t="shared" si="1"/>
        <v>120</v>
      </c>
      <c r="H13" s="13">
        <f t="shared" si="2"/>
        <v>18000</v>
      </c>
      <c r="I13" s="13">
        <v>3</v>
      </c>
      <c r="J13" s="13">
        <f t="shared" si="3"/>
        <v>2700</v>
      </c>
      <c r="K13" s="13">
        <f t="shared" si="4"/>
        <v>50820</v>
      </c>
      <c r="L13" s="13">
        <f t="shared" si="7"/>
        <v>110820</v>
      </c>
      <c r="M13" s="13">
        <f t="shared" si="5"/>
        <v>7200</v>
      </c>
      <c r="N13" s="13">
        <f t="shared" si="6"/>
        <v>103620</v>
      </c>
    </row>
    <row r="14" spans="1:19" ht="23.5" x14ac:dyDescent="0.55000000000000004">
      <c r="A14" s="13">
        <v>12</v>
      </c>
      <c r="B14" s="13" t="s">
        <v>46</v>
      </c>
      <c r="C14" s="13" t="s">
        <v>65</v>
      </c>
      <c r="D14" s="13" t="s">
        <v>76</v>
      </c>
      <c r="E14" s="13">
        <v>60000</v>
      </c>
      <c r="F14" s="13">
        <f t="shared" si="0"/>
        <v>30000</v>
      </c>
      <c r="G14" s="13">
        <f t="shared" si="1"/>
        <v>120</v>
      </c>
      <c r="H14" s="13">
        <f t="shared" si="2"/>
        <v>18000</v>
      </c>
      <c r="I14" s="13">
        <v>5</v>
      </c>
      <c r="J14" s="13">
        <f t="shared" si="3"/>
        <v>4500</v>
      </c>
      <c r="K14" s="13">
        <f t="shared" si="4"/>
        <v>52620</v>
      </c>
      <c r="L14" s="13">
        <f t="shared" si="7"/>
        <v>112620</v>
      </c>
      <c r="M14" s="13">
        <f t="shared" si="5"/>
        <v>7200</v>
      </c>
      <c r="N14" s="13">
        <f t="shared" si="6"/>
        <v>105420</v>
      </c>
    </row>
    <row r="15" spans="1:19" ht="23.5" x14ac:dyDescent="0.55000000000000004">
      <c r="A15" s="13">
        <v>13</v>
      </c>
      <c r="B15" s="13" t="s">
        <v>47</v>
      </c>
      <c r="C15" s="13" t="s">
        <v>66</v>
      </c>
      <c r="D15" s="13" t="s">
        <v>76</v>
      </c>
      <c r="E15" s="13">
        <v>60000</v>
      </c>
      <c r="F15" s="13">
        <f t="shared" si="0"/>
        <v>30000</v>
      </c>
      <c r="G15" s="13">
        <f t="shared" si="1"/>
        <v>120</v>
      </c>
      <c r="H15" s="13">
        <f t="shared" si="2"/>
        <v>18000</v>
      </c>
      <c r="I15" s="13">
        <v>2</v>
      </c>
      <c r="J15" s="13">
        <f t="shared" si="3"/>
        <v>1800</v>
      </c>
      <c r="K15" s="13">
        <f t="shared" si="4"/>
        <v>49920</v>
      </c>
      <c r="L15" s="13">
        <f t="shared" si="7"/>
        <v>109920</v>
      </c>
      <c r="M15" s="13">
        <f t="shared" si="5"/>
        <v>7200</v>
      </c>
      <c r="N15" s="13">
        <f t="shared" si="6"/>
        <v>102720</v>
      </c>
    </row>
    <row r="16" spans="1:19" ht="23.5" x14ac:dyDescent="0.55000000000000004">
      <c r="A16" s="13">
        <v>14</v>
      </c>
      <c r="B16" s="13" t="s">
        <v>48</v>
      </c>
      <c r="C16" s="13" t="s">
        <v>67</v>
      </c>
      <c r="D16" s="13" t="s">
        <v>76</v>
      </c>
      <c r="E16" s="13">
        <v>60000</v>
      </c>
      <c r="F16" s="13">
        <f t="shared" si="0"/>
        <v>30000</v>
      </c>
      <c r="G16" s="13">
        <f t="shared" si="1"/>
        <v>120</v>
      </c>
      <c r="H16" s="13">
        <f t="shared" si="2"/>
        <v>18000</v>
      </c>
      <c r="I16" s="13">
        <v>1</v>
      </c>
      <c r="J16" s="13">
        <f t="shared" si="3"/>
        <v>900</v>
      </c>
      <c r="K16" s="13">
        <f t="shared" si="4"/>
        <v>49020</v>
      </c>
      <c r="L16" s="13">
        <f t="shared" si="7"/>
        <v>109020</v>
      </c>
      <c r="M16" s="13">
        <f t="shared" si="5"/>
        <v>7200</v>
      </c>
      <c r="N16" s="13">
        <f t="shared" si="6"/>
        <v>101820</v>
      </c>
    </row>
    <row r="17" spans="1:14" ht="23.5" x14ac:dyDescent="0.55000000000000004">
      <c r="A17" s="13">
        <v>15</v>
      </c>
      <c r="B17" s="13" t="s">
        <v>49</v>
      </c>
      <c r="C17" s="13" t="s">
        <v>68</v>
      </c>
      <c r="D17" s="13" t="s">
        <v>76</v>
      </c>
      <c r="E17" s="13">
        <v>60000</v>
      </c>
      <c r="F17" s="13">
        <f t="shared" si="0"/>
        <v>30000</v>
      </c>
      <c r="G17" s="13">
        <f t="shared" si="1"/>
        <v>120</v>
      </c>
      <c r="H17" s="13">
        <f t="shared" si="2"/>
        <v>18000</v>
      </c>
      <c r="I17" s="13">
        <v>1</v>
      </c>
      <c r="J17" s="13">
        <f t="shared" si="3"/>
        <v>900</v>
      </c>
      <c r="K17" s="13">
        <f t="shared" si="4"/>
        <v>49020</v>
      </c>
      <c r="L17" s="13">
        <f t="shared" si="7"/>
        <v>109020</v>
      </c>
      <c r="M17" s="13">
        <f t="shared" si="5"/>
        <v>7200</v>
      </c>
      <c r="N17" s="13">
        <f t="shared" si="6"/>
        <v>101820</v>
      </c>
    </row>
    <row r="18" spans="1:14" ht="23.5" x14ac:dyDescent="0.55000000000000004">
      <c r="A18" s="13">
        <v>16</v>
      </c>
      <c r="B18" s="13" t="s">
        <v>50</v>
      </c>
      <c r="C18" s="13" t="s">
        <v>69</v>
      </c>
      <c r="D18" s="13" t="s">
        <v>76</v>
      </c>
      <c r="E18" s="13">
        <v>60000</v>
      </c>
      <c r="F18" s="13">
        <f t="shared" si="0"/>
        <v>30000</v>
      </c>
      <c r="G18" s="13">
        <f t="shared" si="1"/>
        <v>120</v>
      </c>
      <c r="H18" s="13">
        <f t="shared" si="2"/>
        <v>18000</v>
      </c>
      <c r="I18" s="13">
        <v>5</v>
      </c>
      <c r="J18" s="13">
        <f t="shared" si="3"/>
        <v>4500</v>
      </c>
      <c r="K18" s="13">
        <f t="shared" si="4"/>
        <v>52620</v>
      </c>
      <c r="L18" s="13">
        <f t="shared" si="7"/>
        <v>112620</v>
      </c>
      <c r="M18" s="13">
        <f t="shared" si="5"/>
        <v>7200</v>
      </c>
      <c r="N18" s="13">
        <f t="shared" si="6"/>
        <v>105420</v>
      </c>
    </row>
    <row r="19" spans="1:14" ht="23.5" x14ac:dyDescent="0.55000000000000004">
      <c r="A19" s="13">
        <v>17</v>
      </c>
      <c r="B19" s="13" t="s">
        <v>51</v>
      </c>
      <c r="C19" s="13" t="s">
        <v>70</v>
      </c>
      <c r="D19" s="13" t="s">
        <v>76</v>
      </c>
      <c r="E19" s="13">
        <v>60000</v>
      </c>
      <c r="F19" s="13">
        <f>E19*50%</f>
        <v>30000</v>
      </c>
      <c r="G19" s="13">
        <f t="shared" si="1"/>
        <v>120</v>
      </c>
      <c r="H19" s="13">
        <f t="shared" si="2"/>
        <v>18000</v>
      </c>
      <c r="I19" s="13">
        <v>3</v>
      </c>
      <c r="J19" s="13">
        <f t="shared" si="3"/>
        <v>2700</v>
      </c>
      <c r="K19" s="13">
        <f t="shared" si="4"/>
        <v>50820</v>
      </c>
      <c r="L19" s="13">
        <f t="shared" si="7"/>
        <v>110820</v>
      </c>
      <c r="M19" s="13">
        <f t="shared" si="5"/>
        <v>7200</v>
      </c>
      <c r="N19" s="13">
        <f t="shared" si="6"/>
        <v>103620</v>
      </c>
    </row>
    <row r="20" spans="1:14" ht="23.5" x14ac:dyDescent="0.55000000000000004">
      <c r="A20" s="13">
        <v>18</v>
      </c>
      <c r="B20" s="13" t="s">
        <v>52</v>
      </c>
      <c r="C20" s="13" t="s">
        <v>71</v>
      </c>
      <c r="D20" s="13" t="s">
        <v>76</v>
      </c>
      <c r="E20" s="13">
        <v>60000</v>
      </c>
      <c r="F20" s="13">
        <f>E20*50%</f>
        <v>30000</v>
      </c>
      <c r="G20" s="13">
        <f t="shared" si="1"/>
        <v>120</v>
      </c>
      <c r="H20" s="13">
        <f t="shared" si="2"/>
        <v>18000</v>
      </c>
      <c r="I20" s="13">
        <v>3</v>
      </c>
      <c r="J20" s="13">
        <f t="shared" si="3"/>
        <v>2700</v>
      </c>
      <c r="K20" s="13">
        <f t="shared" si="4"/>
        <v>50820</v>
      </c>
      <c r="L20" s="13">
        <f t="shared" si="7"/>
        <v>110820</v>
      </c>
      <c r="M20" s="13">
        <f t="shared" si="5"/>
        <v>7200</v>
      </c>
      <c r="N20" s="13">
        <f t="shared" si="6"/>
        <v>103620</v>
      </c>
    </row>
    <row r="21" spans="1:14" ht="23.5" x14ac:dyDescent="0.55000000000000004">
      <c r="A21" s="13">
        <v>19</v>
      </c>
      <c r="B21" s="13" t="s">
        <v>12</v>
      </c>
      <c r="C21" s="13" t="s">
        <v>72</v>
      </c>
      <c r="D21" s="13" t="s">
        <v>76</v>
      </c>
      <c r="E21" s="13">
        <v>60000</v>
      </c>
      <c r="F21" s="13">
        <f t="shared" si="0"/>
        <v>30000</v>
      </c>
      <c r="G21" s="13">
        <f t="shared" si="1"/>
        <v>120</v>
      </c>
      <c r="H21" s="13">
        <f t="shared" si="2"/>
        <v>18000</v>
      </c>
      <c r="I21" s="13">
        <v>4</v>
      </c>
      <c r="J21" s="13">
        <f t="shared" si="3"/>
        <v>3600</v>
      </c>
      <c r="K21" s="13">
        <f t="shared" si="4"/>
        <v>51720</v>
      </c>
      <c r="L21" s="13">
        <f t="shared" si="7"/>
        <v>111720</v>
      </c>
      <c r="M21" s="13">
        <f t="shared" si="5"/>
        <v>7200</v>
      </c>
      <c r="N21" s="13">
        <f t="shared" si="6"/>
        <v>104520</v>
      </c>
    </row>
    <row r="22" spans="1:14" ht="23.5" x14ac:dyDescent="0.55000000000000004">
      <c r="A22" s="13">
        <v>20</v>
      </c>
      <c r="B22" s="13" t="s">
        <v>53</v>
      </c>
      <c r="C22" s="13" t="s">
        <v>73</v>
      </c>
      <c r="D22" s="13" t="s">
        <v>76</v>
      </c>
      <c r="E22" s="13">
        <v>60000</v>
      </c>
      <c r="F22" s="13">
        <f t="shared" si="0"/>
        <v>30000</v>
      </c>
      <c r="G22" s="13">
        <f t="shared" si="1"/>
        <v>120</v>
      </c>
      <c r="H22" s="13">
        <f t="shared" si="2"/>
        <v>18000</v>
      </c>
      <c r="I22" s="13">
        <v>4</v>
      </c>
      <c r="J22" s="13">
        <f t="shared" si="3"/>
        <v>3600</v>
      </c>
      <c r="K22" s="13">
        <f t="shared" si="4"/>
        <v>51720</v>
      </c>
      <c r="L22" s="13">
        <f t="shared" si="7"/>
        <v>111720</v>
      </c>
      <c r="M22" s="13">
        <f t="shared" si="5"/>
        <v>7200</v>
      </c>
      <c r="N22" s="13">
        <f t="shared" si="6"/>
        <v>104520</v>
      </c>
    </row>
    <row r="23" spans="1:14" ht="23.5" x14ac:dyDescent="0.55000000000000004">
      <c r="F23" s="13"/>
    </row>
    <row r="24" spans="1:14" ht="23.5" x14ac:dyDescent="0.55000000000000004">
      <c r="F24" s="13"/>
    </row>
    <row r="25" spans="1:14" ht="23.5" x14ac:dyDescent="0.55000000000000004">
      <c r="F25" s="13"/>
    </row>
    <row r="26" spans="1:14" ht="23.5" x14ac:dyDescent="0.55000000000000004">
      <c r="C26" s="20" t="s">
        <v>82</v>
      </c>
      <c r="D26" s="20"/>
      <c r="E26" s="20"/>
      <c r="F26" s="13"/>
      <c r="G26" s="20"/>
    </row>
    <row r="27" spans="1:14" ht="23.5" x14ac:dyDescent="0.55000000000000004">
      <c r="C27" s="20" t="s">
        <v>83</v>
      </c>
      <c r="D27" s="20"/>
      <c r="E27" s="20"/>
      <c r="F27" s="13"/>
      <c r="G27" s="20"/>
    </row>
    <row r="28" spans="1:14" ht="23.5" x14ac:dyDescent="0.55000000000000004">
      <c r="C28" s="20" t="s">
        <v>84</v>
      </c>
      <c r="D28" s="20"/>
      <c r="E28" s="20"/>
      <c r="F28" s="13"/>
      <c r="G28" s="20"/>
    </row>
    <row r="29" spans="1:14" ht="23.5" x14ac:dyDescent="0.55000000000000004">
      <c r="C29" s="20" t="s">
        <v>88</v>
      </c>
      <c r="D29" s="20"/>
      <c r="E29" s="20"/>
      <c r="F29" s="13"/>
      <c r="G29" s="20"/>
    </row>
    <row r="30" spans="1:14" ht="23.5" x14ac:dyDescent="0.55000000000000004">
      <c r="C30" s="20" t="s">
        <v>85</v>
      </c>
      <c r="D30" s="20"/>
      <c r="F30" s="20"/>
      <c r="G30" s="20"/>
    </row>
    <row r="31" spans="1:14" ht="23.5" x14ac:dyDescent="0.55000000000000004">
      <c r="C31" s="20" t="s">
        <v>86</v>
      </c>
      <c r="D31" s="20"/>
      <c r="E31" s="20"/>
      <c r="F31" s="20"/>
      <c r="G31" s="20"/>
    </row>
    <row r="32" spans="1:14" ht="23.5" x14ac:dyDescent="0.55000000000000004">
      <c r="C32" s="20" t="s">
        <v>87</v>
      </c>
      <c r="D32" s="20"/>
      <c r="E32" s="20"/>
      <c r="F32" s="20"/>
      <c r="G32" s="20"/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2024-12-02T12:02:11Z</dcterms:created>
  <dcterms:modified xsi:type="dcterms:W3CDTF">2024-12-17T12:25:13Z</dcterms:modified>
</cp:coreProperties>
</file>